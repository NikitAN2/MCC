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163\Desktop\"/>
    </mc:Choice>
  </mc:AlternateContent>
  <bookViews>
    <workbookView xWindow="0" yWindow="0" windowWidth="20490" windowHeight="7755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5" i="1"/>
  <c r="W16" i="2"/>
  <c r="O16" i="2"/>
  <c r="C4" i="2"/>
  <c r="AI16" i="2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P16" i="2" l="1"/>
  <c r="I16" i="2"/>
  <c r="R16" i="2"/>
  <c r="K16" i="2"/>
  <c r="S16" i="2"/>
  <c r="AA16" i="2"/>
  <c r="L16" i="2"/>
  <c r="T16" i="2"/>
  <c r="AB16" i="2"/>
  <c r="H16" i="2"/>
  <c r="X16" i="2"/>
  <c r="Y16" i="2"/>
  <c r="J16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C16" i="2"/>
  <c r="F13" i="2"/>
  <c r="G16" i="2" s="1"/>
  <c r="Q16" i="2"/>
  <c r="C5" i="2"/>
  <c r="Z16" i="2"/>
  <c r="M16" i="2"/>
  <c r="U16" i="2"/>
  <c r="N16" i="2"/>
  <c r="V16" i="2"/>
  <c r="AD16" i="2"/>
  <c r="AE16" i="2"/>
  <c r="AF16" i="2"/>
  <c r="AG16" i="2"/>
  <c r="AH16" i="2"/>
  <c r="AI15" i="2" l="1"/>
  <c r="AA15" i="2"/>
  <c r="S15" i="2"/>
  <c r="K15" i="2"/>
  <c r="AH15" i="2"/>
  <c r="Z15" i="2"/>
  <c r="R15" i="2"/>
  <c r="AE15" i="2"/>
  <c r="O15" i="2"/>
  <c r="V15" i="2"/>
  <c r="J15" i="2"/>
  <c r="W15" i="2"/>
  <c r="G15" i="2"/>
  <c r="AD15" i="2"/>
  <c r="AC15" i="2"/>
  <c r="U15" i="2"/>
  <c r="M15" i="2"/>
  <c r="AB15" i="2"/>
  <c r="L15" i="2"/>
  <c r="AG15" i="2"/>
  <c r="Y15" i="2"/>
  <c r="Q15" i="2"/>
  <c r="I15" i="2"/>
  <c r="AF15" i="2"/>
  <c r="X15" i="2"/>
  <c r="P15" i="2"/>
  <c r="H15" i="2"/>
  <c r="N15" i="2"/>
  <c r="T15" i="2"/>
</calcChain>
</file>

<file path=xl/sharedStrings.xml><?xml version="1.0" encoding="utf-8"?>
<sst xmlns="http://schemas.openxmlformats.org/spreadsheetml/2006/main" count="25" uniqueCount="12">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</sst>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65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663893894140988E-2"/>
          <c:y val="3.9909291351539436E-2"/>
          <c:w val="0.88494952237553381"/>
          <c:h val="0.8331066059316175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584-41E9-ACFD-6DBA834F8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1085600"/>
        <c:axId val="-1971087776"/>
      </c:scatterChart>
      <c:valAx>
        <c:axId val="-1971085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971087776"/>
        <c:crosses val="autoZero"/>
        <c:crossBetween val="midCat"/>
      </c:valAx>
      <c:valAx>
        <c:axId val="-1971087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97108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663893894140988E-2"/>
          <c:y val="3.9909291351539436E-2"/>
          <c:w val="0.88494952237553381"/>
          <c:h val="0.8331066059316175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132-4A42-A889-307220D9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71079072"/>
        <c:axId val="-1971087232"/>
      </c:scatterChart>
      <c:valAx>
        <c:axId val="-19710790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971087232"/>
        <c:crosses val="autoZero"/>
        <c:crossBetween val="midCat"/>
      </c:valAx>
      <c:valAx>
        <c:axId val="-1971087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97107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17</xdr:row>
      <xdr:rowOff>0</xdr:rowOff>
    </xdr:from>
    <xdr:to>
      <xdr:col>16</xdr:col>
      <xdr:colOff>238125</xdr:colOff>
      <xdr:row>43</xdr:row>
      <xdr:rowOff>166688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2A329A3E-475B-45B3-A2DF-F39A5B187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85725</xdr:colOff>
      <xdr:row>17</xdr:row>
      <xdr:rowOff>123825</xdr:rowOff>
    </xdr:from>
    <xdr:ext cx="533400" cy="376238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44667555-F244-4159-A168-FFE62D479414}"/>
            </a:ext>
          </a:extLst>
        </xdr:cNvPr>
        <xdr:cNvSpPr txBox="1"/>
      </xdr:nvSpPr>
      <xdr:spPr>
        <a:xfrm>
          <a:off x="2550319" y="3386138"/>
          <a:ext cx="533400" cy="3762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 i="1"/>
            <a:t>T,</a:t>
          </a:r>
          <a:r>
            <a:rPr lang="en-US" sz="1800" b="1" i="1" baseline="0"/>
            <a:t> [C]</a:t>
          </a:r>
          <a:endParaRPr lang="ru-RU" sz="1800" b="1" i="1"/>
        </a:p>
      </xdr:txBody>
    </xdr:sp>
    <xdr:clientData/>
  </xdr:oneCellAnchor>
  <xdr:oneCellAnchor>
    <xdr:from>
      <xdr:col>15</xdr:col>
      <xdr:colOff>34925</xdr:colOff>
      <xdr:row>41</xdr:row>
      <xdr:rowOff>1587</xdr:rowOff>
    </xdr:from>
    <xdr:ext cx="647700" cy="281808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CFF78108-FB2C-4736-BDDE-C974AADB7B61}"/>
            </a:ext>
          </a:extLst>
        </xdr:cNvPr>
        <xdr:cNvSpPr txBox="1"/>
      </xdr:nvSpPr>
      <xdr:spPr>
        <a:xfrm>
          <a:off x="7869238" y="7835900"/>
          <a:ext cx="647700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1"/>
            <a:t>L,</a:t>
          </a:r>
          <a:r>
            <a:rPr lang="en-US" sz="1800" b="1" i="1" baseline="0"/>
            <a:t> [m]</a:t>
          </a:r>
          <a:endParaRPr lang="ru-RU" sz="1800" b="1" i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17</xdr:row>
      <xdr:rowOff>0</xdr:rowOff>
    </xdr:from>
    <xdr:to>
      <xdr:col>16</xdr:col>
      <xdr:colOff>238125</xdr:colOff>
      <xdr:row>43</xdr:row>
      <xdr:rowOff>166688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21E4655B-9355-4855-B52D-D88A771B1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85725</xdr:colOff>
      <xdr:row>17</xdr:row>
      <xdr:rowOff>123825</xdr:rowOff>
    </xdr:from>
    <xdr:ext cx="533400" cy="37623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45950379-6F6D-42F7-A1FC-D40434E4A7DA}"/>
            </a:ext>
          </a:extLst>
        </xdr:cNvPr>
        <xdr:cNvSpPr txBox="1"/>
      </xdr:nvSpPr>
      <xdr:spPr>
        <a:xfrm>
          <a:off x="2552700" y="3390900"/>
          <a:ext cx="533400" cy="3762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 i="1"/>
            <a:t>T,</a:t>
          </a:r>
          <a:r>
            <a:rPr lang="en-US" sz="1800" b="1" i="1" baseline="0"/>
            <a:t> [C]</a:t>
          </a:r>
          <a:endParaRPr lang="ru-RU" sz="1800" b="1" i="1"/>
        </a:p>
      </xdr:txBody>
    </xdr:sp>
    <xdr:clientData/>
  </xdr:oneCellAnchor>
  <xdr:oneCellAnchor>
    <xdr:from>
      <xdr:col>15</xdr:col>
      <xdr:colOff>34925</xdr:colOff>
      <xdr:row>41</xdr:row>
      <xdr:rowOff>1587</xdr:rowOff>
    </xdr:from>
    <xdr:ext cx="647700" cy="281808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C1C0C99E-BCC9-41E5-9491-9691539B88D3}"/>
            </a:ext>
          </a:extLst>
        </xdr:cNvPr>
        <xdr:cNvSpPr txBox="1"/>
      </xdr:nvSpPr>
      <xdr:spPr>
        <a:xfrm>
          <a:off x="7874000" y="7840662"/>
          <a:ext cx="647700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1"/>
            <a:t>L,</a:t>
          </a:r>
          <a:r>
            <a:rPr lang="en-US" sz="1800" b="1" i="1" baseline="0"/>
            <a:t> [m]</a:t>
          </a:r>
          <a:endParaRPr lang="ru-RU" sz="1800" b="1" i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5"/>
  <sheetViews>
    <sheetView tabSelected="1" zoomScale="80" zoomScaleNormal="80" workbookViewId="0">
      <selection activeCell="I4" sqref="I4"/>
    </sheetView>
  </sheetViews>
  <sheetFormatPr defaultRowHeight="15" x14ac:dyDescent="0.25"/>
  <cols>
    <col min="3" max="3" width="9.5703125" bestFit="1" customWidth="1"/>
    <col min="6" max="36" width="7.140625" customWidth="1"/>
  </cols>
  <sheetData>
    <row r="3" spans="1:36" x14ac:dyDescent="0.25">
      <c r="B3" s="3" t="s">
        <v>0</v>
      </c>
      <c r="C3" s="3">
        <v>0.1</v>
      </c>
    </row>
    <row r="4" spans="1:36" x14ac:dyDescent="0.25">
      <c r="B4" s="3" t="s">
        <v>1</v>
      </c>
      <c r="C4" s="4">
        <f>C3/30</f>
        <v>3.3333333333333335E-3</v>
      </c>
    </row>
    <row r="5" spans="1:36" x14ac:dyDescent="0.25">
      <c r="B5" s="3" t="s">
        <v>2</v>
      </c>
      <c r="C5" s="9">
        <f>(C9*C8*C4^2)/(2*C10)</f>
        <v>0.4333333333333334</v>
      </c>
    </row>
    <row r="6" spans="1:36" x14ac:dyDescent="0.25">
      <c r="B6" s="5" t="s">
        <v>3</v>
      </c>
      <c r="C6" s="5">
        <v>620</v>
      </c>
      <c r="D6">
        <v>620.10000000000014</v>
      </c>
    </row>
    <row r="7" spans="1:36" x14ac:dyDescent="0.25">
      <c r="A7" s="7"/>
      <c r="B7" s="8"/>
      <c r="C7" s="8"/>
      <c r="D7" s="7"/>
    </row>
    <row r="8" spans="1:36" x14ac:dyDescent="0.25">
      <c r="B8" s="6" t="s">
        <v>4</v>
      </c>
      <c r="C8" s="6">
        <v>460</v>
      </c>
    </row>
    <row r="9" spans="1:36" x14ac:dyDescent="0.25">
      <c r="B9" s="3" t="s">
        <v>5</v>
      </c>
      <c r="C9" s="3">
        <v>7800</v>
      </c>
    </row>
    <row r="10" spans="1:36" x14ac:dyDescent="0.25">
      <c r="B10" s="5" t="s">
        <v>6</v>
      </c>
      <c r="C10" s="5">
        <v>46</v>
      </c>
    </row>
    <row r="11" spans="1:36" x14ac:dyDescent="0.25">
      <c r="A11" s="7"/>
      <c r="B11" s="8"/>
      <c r="C11" s="8"/>
      <c r="D11" s="7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6" t="s">
        <v>8</v>
      </c>
      <c r="C12" s="6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ht="17.25" customHeight="1" x14ac:dyDescent="0.25">
      <c r="B13" s="3" t="s">
        <v>9</v>
      </c>
      <c r="C13" s="3">
        <v>100</v>
      </c>
      <c r="E13" t="s">
        <v>7</v>
      </c>
      <c r="F13">
        <f>300</f>
        <v>300</v>
      </c>
      <c r="G13">
        <v>293.32310708172031</v>
      </c>
      <c r="H13">
        <v>286.64621416344067</v>
      </c>
      <c r="I13">
        <v>279.96976818142753</v>
      </c>
      <c r="J13">
        <v>273.29332219941438</v>
      </c>
      <c r="K13">
        <v>266.61775055667476</v>
      </c>
      <c r="L13">
        <v>259.94217891393515</v>
      </c>
      <c r="M13">
        <v>253.26787080065432</v>
      </c>
      <c r="N13">
        <v>246.59356268737349</v>
      </c>
      <c r="O13">
        <v>239.9208520714362</v>
      </c>
      <c r="P13">
        <v>233.24814145549891</v>
      </c>
      <c r="Q13">
        <v>226.57729248649036</v>
      </c>
      <c r="R13">
        <v>219.90644351748179</v>
      </c>
      <c r="S13">
        <v>213.23763898208321</v>
      </c>
      <c r="T13">
        <v>206.56883444668463</v>
      </c>
      <c r="U13">
        <v>199.9021677800182</v>
      </c>
      <c r="V13">
        <v>193.2355011133518</v>
      </c>
      <c r="W13">
        <v>186.57097231541749</v>
      </c>
      <c r="X13">
        <v>179.90644351748318</v>
      </c>
      <c r="Y13">
        <v>173.24395915315873</v>
      </c>
      <c r="Z13">
        <v>166.58147478883427</v>
      </c>
      <c r="AA13">
        <v>159.92085207143839</v>
      </c>
      <c r="AB13">
        <v>153.26022935404251</v>
      </c>
      <c r="AC13">
        <v>146.60120413398997</v>
      </c>
      <c r="AD13">
        <v>139.94217891393743</v>
      </c>
      <c r="AE13">
        <v>133.28441722334344</v>
      </c>
      <c r="AF13">
        <v>126.62665553274945</v>
      </c>
      <c r="AG13">
        <v>119.96976818142888</v>
      </c>
      <c r="AH13">
        <v>113.3128808301083</v>
      </c>
      <c r="AI13">
        <v>106.65644041505415</v>
      </c>
      <c r="AJ13">
        <v>100</v>
      </c>
    </row>
    <row r="15" spans="1:36" x14ac:dyDescent="0.25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AJ16"/>
  <sheetViews>
    <sheetView zoomScale="80" zoomScaleNormal="80" workbookViewId="0">
      <selection activeCell="G15" sqref="G15"/>
    </sheetView>
  </sheetViews>
  <sheetFormatPr defaultRowHeight="15" x14ac:dyDescent="0.25"/>
  <cols>
    <col min="3" max="3" width="9.5703125" bestFit="1" customWidth="1"/>
    <col min="6" max="36" width="7.140625" customWidth="1"/>
  </cols>
  <sheetData>
    <row r="3" spans="1:36" x14ac:dyDescent="0.25">
      <c r="B3" s="3" t="s">
        <v>0</v>
      </c>
      <c r="C3" s="3">
        <v>0.1</v>
      </c>
    </row>
    <row r="4" spans="1:36" x14ac:dyDescent="0.25">
      <c r="B4" s="3" t="s">
        <v>1</v>
      </c>
      <c r="C4" s="4">
        <f>C3/30</f>
        <v>3.3333333333333335E-3</v>
      </c>
    </row>
    <row r="5" spans="1:36" x14ac:dyDescent="0.25">
      <c r="B5" s="3" t="s">
        <v>2</v>
      </c>
      <c r="C5" s="9">
        <f>(C9*C8*C4^2)/(2*C10)</f>
        <v>0.4333333333333334</v>
      </c>
    </row>
    <row r="6" spans="1:36" x14ac:dyDescent="0.25">
      <c r="B6" s="5" t="s">
        <v>3</v>
      </c>
      <c r="C6" s="5">
        <v>5000</v>
      </c>
      <c r="D6">
        <v>5000.2333333333345</v>
      </c>
    </row>
    <row r="7" spans="1:36" x14ac:dyDescent="0.25">
      <c r="A7" s="7"/>
      <c r="B7" s="8"/>
      <c r="C7" s="8"/>
      <c r="D7" s="7"/>
    </row>
    <row r="8" spans="1:36" x14ac:dyDescent="0.25">
      <c r="B8" s="6" t="s">
        <v>4</v>
      </c>
      <c r="C8" s="6">
        <v>460</v>
      </c>
    </row>
    <row r="9" spans="1:36" x14ac:dyDescent="0.25">
      <c r="B9" s="3" t="s">
        <v>5</v>
      </c>
      <c r="C9" s="3">
        <v>7800</v>
      </c>
    </row>
    <row r="10" spans="1:36" x14ac:dyDescent="0.25">
      <c r="B10" s="5" t="s">
        <v>6</v>
      </c>
      <c r="C10" s="5">
        <v>46</v>
      </c>
    </row>
    <row r="11" spans="1:36" x14ac:dyDescent="0.25">
      <c r="A11" s="7"/>
      <c r="B11" s="8"/>
      <c r="C11" s="8"/>
      <c r="D11" s="7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6" t="s">
        <v>8</v>
      </c>
      <c r="C12" s="6">
        <v>92000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ht="17.25" customHeight="1" x14ac:dyDescent="0.25">
      <c r="B13" s="3" t="s">
        <v>9</v>
      </c>
      <c r="C13" s="3">
        <v>100</v>
      </c>
      <c r="E13" t="s">
        <v>7</v>
      </c>
      <c r="F13">
        <f>(F16/C10)*C4+G13</f>
        <v>299.99997763108735</v>
      </c>
      <c r="G13">
        <v>293.33331096442066</v>
      </c>
      <c r="H13">
        <v>286.6666443611611</v>
      </c>
      <c r="I13">
        <v>279.99997782112894</v>
      </c>
      <c r="J13">
        <v>273.33331134396514</v>
      </c>
      <c r="K13">
        <v>266.66664492913264</v>
      </c>
      <c r="L13">
        <v>259.99997857591751</v>
      </c>
      <c r="M13">
        <v>253.3333122834313</v>
      </c>
      <c r="N13">
        <v>246.66664605061328</v>
      </c>
      <c r="O13">
        <v>239.99997987623377</v>
      </c>
      <c r="P13">
        <v>233.33331375889719</v>
      </c>
      <c r="Q13">
        <v>226.66664769704656</v>
      </c>
      <c r="R13">
        <v>219.9999816889673</v>
      </c>
      <c r="S13">
        <v>213.33331573279273</v>
      </c>
      <c r="T13">
        <v>206.66664982650872</v>
      </c>
      <c r="U13">
        <v>199.99998396796005</v>
      </c>
      <c r="V13">
        <v>193.33331815485587</v>
      </c>
      <c r="W13">
        <v>186.6666523847768</v>
      </c>
      <c r="X13">
        <v>179.99998665518126</v>
      </c>
      <c r="Y13">
        <v>173.33332096341309</v>
      </c>
      <c r="Z13">
        <v>166.66665530670878</v>
      </c>
      <c r="AA13">
        <v>159.9999896822055</v>
      </c>
      <c r="AB13">
        <v>153.33332408694912</v>
      </c>
      <c r="AC13">
        <v>146.66665851790265</v>
      </c>
      <c r="AD13">
        <v>139.99999297195473</v>
      </c>
      <c r="AE13">
        <v>133.33332744592857</v>
      </c>
      <c r="AF13">
        <v>126.66666193659087</v>
      </c>
      <c r="AG13">
        <v>119.99999644066111</v>
      </c>
      <c r="AH13">
        <v>113.3333309548207</v>
      </c>
      <c r="AI13">
        <v>106.66666547572241</v>
      </c>
      <c r="AJ13">
        <v>100</v>
      </c>
    </row>
    <row r="15" spans="1:36" x14ac:dyDescent="0.25">
      <c r="E15" t="s">
        <v>10</v>
      </c>
      <c r="G15">
        <f>G13+(($C$10*$C$5)/($C$9*$C$8))*((H13-2*G13+F13)/($C$4^2))</f>
        <v>293.33331099612423</v>
      </c>
      <c r="H15">
        <f t="shared" ref="H15:AI15" si="1">H13+(($C$10*$C$5)/($C$9*$C$8))*((I13-2*H13+G13)/($C$4^2))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1:36" x14ac:dyDescent="0.25">
      <c r="E16" t="s">
        <v>11</v>
      </c>
      <c r="F16"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Пользователь Windows</cp:lastModifiedBy>
  <dcterms:created xsi:type="dcterms:W3CDTF">2021-03-20T08:34:43Z</dcterms:created>
  <dcterms:modified xsi:type="dcterms:W3CDTF">2021-03-20T19:53:36Z</dcterms:modified>
</cp:coreProperties>
</file>